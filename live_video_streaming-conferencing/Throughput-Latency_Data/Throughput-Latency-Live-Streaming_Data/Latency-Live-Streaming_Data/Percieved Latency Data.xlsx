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New Data/"/>
    </mc:Choice>
  </mc:AlternateContent>
  <xr:revisionPtr revIDLastSave="0" documentId="8_{1B3753C4-DDB3-1C42-9697-7BE0FDAB1D94}" xr6:coauthVersionLast="47" xr6:coauthVersionMax="47" xr10:uidLastSave="{00000000-0000-0000-0000-000000000000}"/>
  <bookViews>
    <workbookView xWindow="0" yWindow="680" windowWidth="30240" windowHeight="17800" xr2:uid="{D8E11FD8-E55A-3C4B-BCD3-9B6C2799F7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35" i="1"/>
  <c r="J30" i="1"/>
  <c r="J29" i="1"/>
  <c r="F29" i="1"/>
  <c r="C30" i="1"/>
  <c r="D30" i="1"/>
  <c r="E30" i="1"/>
  <c r="F30" i="1"/>
  <c r="G30" i="1"/>
  <c r="H30" i="1"/>
  <c r="B30" i="1"/>
  <c r="C29" i="1"/>
  <c r="D29" i="1"/>
  <c r="E29" i="1"/>
  <c r="G29" i="1"/>
  <c r="H29" i="1"/>
  <c r="B29" i="1"/>
  <c r="C27" i="1"/>
  <c r="D27" i="1"/>
  <c r="E27" i="1"/>
  <c r="F27" i="1"/>
  <c r="G27" i="1"/>
  <c r="H27" i="1"/>
  <c r="B27" i="1"/>
  <c r="E35" i="1"/>
  <c r="D35" i="1"/>
  <c r="C35" i="1"/>
  <c r="F35" i="1"/>
  <c r="G35" i="1"/>
  <c r="H35" i="1"/>
  <c r="B35" i="1"/>
  <c r="J22" i="1"/>
  <c r="E22" i="1"/>
  <c r="F22" i="1"/>
  <c r="G22" i="1"/>
  <c r="H22" i="1"/>
  <c r="D22" i="1"/>
  <c r="C22" i="1"/>
  <c r="B22" i="1"/>
  <c r="J15" i="1"/>
  <c r="C15" i="1"/>
  <c r="D15" i="1"/>
  <c r="E15" i="1"/>
  <c r="F15" i="1"/>
  <c r="G15" i="1"/>
  <c r="H15" i="1"/>
  <c r="B15" i="1"/>
  <c r="H14" i="1"/>
  <c r="G14" i="1"/>
  <c r="G7" i="1"/>
  <c r="B7" i="1"/>
  <c r="C7" i="1"/>
  <c r="D7" i="1"/>
  <c r="E7" i="1"/>
  <c r="F7" i="1"/>
  <c r="H7" i="1"/>
  <c r="C4" i="1"/>
  <c r="D12" i="1"/>
  <c r="D14" i="1"/>
  <c r="E14" i="1"/>
  <c r="F14" i="1"/>
  <c r="H12" i="1"/>
  <c r="G12" i="1"/>
  <c r="F12" i="1"/>
  <c r="E12" i="1"/>
  <c r="B12" i="1"/>
  <c r="C12" i="1"/>
  <c r="C14" i="1"/>
  <c r="B14" i="1"/>
  <c r="C6" i="1"/>
  <c r="D6" i="1"/>
  <c r="E6" i="1"/>
  <c r="F6" i="1"/>
  <c r="G6" i="1"/>
  <c r="H6" i="1"/>
  <c r="B6" i="1"/>
  <c r="J6" i="1" s="1"/>
  <c r="D4" i="1"/>
  <c r="E4" i="1"/>
  <c r="F4" i="1"/>
  <c r="G4" i="1"/>
  <c r="H4" i="1"/>
  <c r="B4" i="1"/>
  <c r="J4" i="1" s="1"/>
  <c r="J7" i="1" l="1"/>
  <c r="J14" i="1"/>
  <c r="J12" i="1"/>
</calcChain>
</file>

<file path=xl/sharedStrings.xml><?xml version="1.0" encoding="utf-8"?>
<sst xmlns="http://schemas.openxmlformats.org/spreadsheetml/2006/main" count="104" uniqueCount="25">
  <si>
    <t>Stage</t>
  </si>
  <si>
    <t>Glass</t>
  </si>
  <si>
    <t>Run #1</t>
  </si>
  <si>
    <t>Run #2</t>
  </si>
  <si>
    <t>Run #3</t>
  </si>
  <si>
    <t>Run #4</t>
  </si>
  <si>
    <t>Run #5</t>
  </si>
  <si>
    <t>Run #6</t>
  </si>
  <si>
    <t>Run #7</t>
  </si>
  <si>
    <t>Bleutooth</t>
  </si>
  <si>
    <t>Insta</t>
  </si>
  <si>
    <t>Phone</t>
  </si>
  <si>
    <t>Client</t>
  </si>
  <si>
    <t>Rayban</t>
  </si>
  <si>
    <t>WIFI-Direct</t>
  </si>
  <si>
    <t>Bluetooth</t>
  </si>
  <si>
    <t>Messenger</t>
  </si>
  <si>
    <t>-</t>
  </si>
  <si>
    <t>Run #8</t>
  </si>
  <si>
    <t>Latency S2C</t>
  </si>
  <si>
    <t>Latency G2S</t>
  </si>
  <si>
    <t xml:space="preserve">Run #1 </t>
  </si>
  <si>
    <t>Latency End-end</t>
  </si>
  <si>
    <t>Latency End-End</t>
  </si>
  <si>
    <t>End-End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</si>
</sst>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4" xfId="0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48A9-9136-B842-8D69-B2BA3FF516FC}">
  <dimension ref="A1:M35"/>
  <sheetViews>
    <sheetView tabSelected="1" zoomScale="115" zoomScaleNormal="167" workbookViewId="0">
      <selection activeCell="L4" sqref="L4"/>
    </sheetView>
  </sheetViews>
  <sheetFormatPr baseColWidth="10" defaultRowHeight="16" x14ac:dyDescent="0.2"/>
  <cols>
    <col min="1" max="1" width="14.33203125" customWidth="1"/>
    <col min="13" max="13" width="3.5" customWidth="1"/>
  </cols>
  <sheetData>
    <row r="1" spans="1:13" x14ac:dyDescent="0.2">
      <c r="A1" s="3" t="s">
        <v>0</v>
      </c>
      <c r="B1" s="4" t="s">
        <v>21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 t="s">
        <v>18</v>
      </c>
      <c r="J1" s="15" t="s">
        <v>9</v>
      </c>
      <c r="K1" s="15" t="s">
        <v>10</v>
      </c>
      <c r="L1" s="15" t="s">
        <v>13</v>
      </c>
      <c r="M1" s="2"/>
    </row>
    <row r="2" spans="1:13" x14ac:dyDescent="0.2">
      <c r="A2" s="6" t="s">
        <v>1</v>
      </c>
      <c r="B2" s="7">
        <v>13320</v>
      </c>
      <c r="C2" s="7">
        <v>27028</v>
      </c>
      <c r="D2" s="14">
        <v>44427</v>
      </c>
      <c r="E2" s="14">
        <v>50717</v>
      </c>
      <c r="F2" s="14">
        <v>53856</v>
      </c>
      <c r="G2" s="14">
        <v>43025</v>
      </c>
      <c r="H2" s="8">
        <v>67349</v>
      </c>
      <c r="M2" s="2"/>
    </row>
    <row r="3" spans="1:13" x14ac:dyDescent="0.2">
      <c r="A3" s="6" t="s">
        <v>11</v>
      </c>
      <c r="B3" s="7">
        <v>11101</v>
      </c>
      <c r="C3" s="7">
        <v>19700</v>
      </c>
      <c r="D3" s="14">
        <v>38897</v>
      </c>
      <c r="E3" s="14">
        <v>47382</v>
      </c>
      <c r="F3" s="14">
        <v>50893</v>
      </c>
      <c r="G3" s="14">
        <v>38922</v>
      </c>
      <c r="H3" s="8">
        <v>60832</v>
      </c>
      <c r="M3" s="2"/>
    </row>
    <row r="4" spans="1:13" x14ac:dyDescent="0.2">
      <c r="A4" s="17" t="s">
        <v>20</v>
      </c>
      <c r="B4">
        <f>B2-B3</f>
        <v>2219</v>
      </c>
      <c r="C4">
        <f>C2-C3</f>
        <v>7328</v>
      </c>
      <c r="D4">
        <f>D2-D3</f>
        <v>5530</v>
      </c>
      <c r="E4">
        <f>E2-E3</f>
        <v>3335</v>
      </c>
      <c r="F4">
        <f>F2-F3</f>
        <v>2963</v>
      </c>
      <c r="G4">
        <f>G2-G3</f>
        <v>4103</v>
      </c>
      <c r="H4">
        <f>H2-H3</f>
        <v>6517</v>
      </c>
      <c r="J4">
        <f>AVERAGE(B4:H4)</f>
        <v>4570.7142857142853</v>
      </c>
      <c r="M4" s="2"/>
    </row>
    <row r="5" spans="1:13" x14ac:dyDescent="0.2">
      <c r="A5" s="9" t="s">
        <v>12</v>
      </c>
      <c r="B5" s="10">
        <v>5061</v>
      </c>
      <c r="C5" s="10">
        <v>11909</v>
      </c>
      <c r="D5" s="10">
        <v>27245</v>
      </c>
      <c r="E5" s="10">
        <v>34332</v>
      </c>
      <c r="F5" s="10">
        <v>35637</v>
      </c>
      <c r="G5" s="10">
        <v>29989</v>
      </c>
      <c r="H5" s="11">
        <v>51472</v>
      </c>
      <c r="M5" s="2"/>
    </row>
    <row r="6" spans="1:13" x14ac:dyDescent="0.2">
      <c r="A6" s="17" t="s">
        <v>19</v>
      </c>
      <c r="B6" s="18">
        <f>B3-B5</f>
        <v>6040</v>
      </c>
      <c r="C6" s="18">
        <f t="shared" ref="C6:I6" si="0">C3-C5</f>
        <v>7791</v>
      </c>
      <c r="D6" s="18">
        <f>D3-D5</f>
        <v>11652</v>
      </c>
      <c r="E6" s="18">
        <f>E3-E5</f>
        <v>13050</v>
      </c>
      <c r="F6" s="18">
        <f>F3-F5</f>
        <v>15256</v>
      </c>
      <c r="G6" s="18">
        <f>G3-G5</f>
        <v>8933</v>
      </c>
      <c r="H6" s="18">
        <f>H3-H5</f>
        <v>9360</v>
      </c>
      <c r="J6">
        <f>AVERAGE(B6:H6)</f>
        <v>10297.428571428571</v>
      </c>
      <c r="M6" s="2"/>
    </row>
    <row r="7" spans="1:13" x14ac:dyDescent="0.2">
      <c r="A7" s="17" t="s">
        <v>22</v>
      </c>
      <c r="B7">
        <f t="shared" ref="B7:F7" si="1">B2-B5</f>
        <v>8259</v>
      </c>
      <c r="C7">
        <f t="shared" si="1"/>
        <v>15119</v>
      </c>
      <c r="D7">
        <f t="shared" si="1"/>
        <v>17182</v>
      </c>
      <c r="E7">
        <f t="shared" si="1"/>
        <v>16385</v>
      </c>
      <c r="F7">
        <f t="shared" si="1"/>
        <v>18219</v>
      </c>
      <c r="G7">
        <f>G2-G5</f>
        <v>13036</v>
      </c>
      <c r="H7">
        <f>H2-H5</f>
        <v>15877</v>
      </c>
      <c r="J7">
        <f>AVERAGE(B7:H7)</f>
        <v>14868.142857142857</v>
      </c>
      <c r="M7" s="2"/>
    </row>
    <row r="8" spans="1:13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</row>
    <row r="9" spans="1:13" x14ac:dyDescent="0.2">
      <c r="A9" s="3" t="s">
        <v>0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5" t="s">
        <v>18</v>
      </c>
      <c r="J9" s="15" t="s">
        <v>14</v>
      </c>
      <c r="K9" s="15" t="s">
        <v>10</v>
      </c>
      <c r="L9" s="15" t="s">
        <v>13</v>
      </c>
      <c r="M9" s="2"/>
    </row>
    <row r="10" spans="1:13" x14ac:dyDescent="0.2">
      <c r="A10" s="6" t="s">
        <v>1</v>
      </c>
      <c r="B10" s="7">
        <v>43025</v>
      </c>
      <c r="C10" s="7">
        <v>65749</v>
      </c>
      <c r="D10" s="14">
        <v>27536</v>
      </c>
      <c r="E10" s="14">
        <v>50165</v>
      </c>
      <c r="F10" s="14">
        <v>24411</v>
      </c>
      <c r="G10" s="10">
        <v>68110</v>
      </c>
      <c r="H10" s="8">
        <v>44869</v>
      </c>
      <c r="M10" s="2"/>
    </row>
    <row r="11" spans="1:13" x14ac:dyDescent="0.2">
      <c r="A11" s="6" t="s">
        <v>11</v>
      </c>
      <c r="B11" s="7">
        <v>38222</v>
      </c>
      <c r="C11" s="7">
        <v>62023</v>
      </c>
      <c r="D11" s="14">
        <v>24822</v>
      </c>
      <c r="E11" s="14">
        <v>48942</v>
      </c>
      <c r="F11" s="14">
        <v>23245</v>
      </c>
      <c r="G11" s="14">
        <v>64969</v>
      </c>
      <c r="H11" s="8">
        <v>42947</v>
      </c>
      <c r="M11" s="2"/>
    </row>
    <row r="12" spans="1:13" x14ac:dyDescent="0.2">
      <c r="A12" s="17" t="s">
        <v>20</v>
      </c>
      <c r="B12">
        <f>B10-B11</f>
        <v>4803</v>
      </c>
      <c r="C12">
        <f>C10-C11</f>
        <v>3726</v>
      </c>
      <c r="D12">
        <f>D10-D11</f>
        <v>2714</v>
      </c>
      <c r="E12">
        <f>E10-E11</f>
        <v>1223</v>
      </c>
      <c r="F12">
        <f>F10-F11</f>
        <v>1166</v>
      </c>
      <c r="G12">
        <f>G10-G11</f>
        <v>3141</v>
      </c>
      <c r="H12">
        <f>H10-H11</f>
        <v>1922</v>
      </c>
      <c r="J12">
        <f>AVERAGE(B12:H12)</f>
        <v>2670.7142857142858</v>
      </c>
      <c r="M12" s="2"/>
    </row>
    <row r="13" spans="1:13" x14ac:dyDescent="0.2">
      <c r="A13" s="9" t="s">
        <v>12</v>
      </c>
      <c r="B13" s="10">
        <v>29989</v>
      </c>
      <c r="C13" s="10">
        <v>55302</v>
      </c>
      <c r="D13" s="10">
        <v>17599</v>
      </c>
      <c r="E13" s="10">
        <v>39452</v>
      </c>
      <c r="F13" s="10">
        <v>11120</v>
      </c>
      <c r="G13" s="10">
        <v>56860</v>
      </c>
      <c r="H13" s="11">
        <v>34469</v>
      </c>
      <c r="M13" s="2"/>
    </row>
    <row r="14" spans="1:13" x14ac:dyDescent="0.2">
      <c r="A14" s="17" t="s">
        <v>19</v>
      </c>
      <c r="B14">
        <f>B11-B13</f>
        <v>8233</v>
      </c>
      <c r="C14">
        <f t="shared" ref="C14:I14" si="2">C11-C13</f>
        <v>6721</v>
      </c>
      <c r="D14">
        <f>D11-D13</f>
        <v>7223</v>
      </c>
      <c r="E14">
        <f>E11-E13</f>
        <v>9490</v>
      </c>
      <c r="F14">
        <f>F11-F13</f>
        <v>12125</v>
      </c>
      <c r="G14">
        <f>G11-G13</f>
        <v>8109</v>
      </c>
      <c r="H14">
        <f>H11-H13</f>
        <v>8478</v>
      </c>
      <c r="J14">
        <f>AVERAGE(B14:I14)</f>
        <v>8625.5714285714294</v>
      </c>
      <c r="M14" s="2"/>
    </row>
    <row r="15" spans="1:13" x14ac:dyDescent="0.2">
      <c r="A15" s="17" t="s">
        <v>23</v>
      </c>
      <c r="B15">
        <f>B10-B13</f>
        <v>13036</v>
      </c>
      <c r="C15">
        <f t="shared" ref="C15:H15" si="3">C10-C13</f>
        <v>10447</v>
      </c>
      <c r="D15">
        <f t="shared" si="3"/>
        <v>9937</v>
      </c>
      <c r="E15">
        <f t="shared" si="3"/>
        <v>10713</v>
      </c>
      <c r="F15">
        <f t="shared" si="3"/>
        <v>13291</v>
      </c>
      <c r="G15">
        <f t="shared" si="3"/>
        <v>11250</v>
      </c>
      <c r="H15">
        <f t="shared" si="3"/>
        <v>10400</v>
      </c>
      <c r="J15">
        <f>AVERAGE(B15:I15)</f>
        <v>11296.285714285714</v>
      </c>
      <c r="M15" s="2"/>
    </row>
    <row r="16" spans="1:13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</row>
    <row r="17" spans="1:13" x14ac:dyDescent="0.2">
      <c r="M17" s="2"/>
    </row>
    <row r="18" spans="1:13" x14ac:dyDescent="0.2">
      <c r="A18" s="3" t="s">
        <v>0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5" t="s">
        <v>18</v>
      </c>
      <c r="J18" s="16" t="s">
        <v>17</v>
      </c>
      <c r="K18" s="15" t="s">
        <v>10</v>
      </c>
      <c r="L18" s="16" t="s">
        <v>17</v>
      </c>
      <c r="M18" s="2"/>
    </row>
    <row r="19" spans="1:13" x14ac:dyDescent="0.2">
      <c r="A19" s="6" t="s">
        <v>1</v>
      </c>
      <c r="B19" s="12" t="s">
        <v>17</v>
      </c>
      <c r="C19" s="12" t="s">
        <v>17</v>
      </c>
      <c r="D19" s="12" t="s">
        <v>17</v>
      </c>
      <c r="E19" s="12" t="s">
        <v>17</v>
      </c>
      <c r="F19" s="12" t="s">
        <v>17</v>
      </c>
      <c r="G19" s="12" t="s">
        <v>17</v>
      </c>
      <c r="H19" s="12" t="s">
        <v>17</v>
      </c>
      <c r="I19" s="12" t="s">
        <v>17</v>
      </c>
      <c r="M19" s="2"/>
    </row>
    <row r="20" spans="1:13" x14ac:dyDescent="0.2">
      <c r="A20" s="6" t="s">
        <v>11</v>
      </c>
      <c r="B20" s="7">
        <v>20331</v>
      </c>
      <c r="C20" s="7">
        <v>29277</v>
      </c>
      <c r="D20" s="7">
        <v>34625</v>
      </c>
      <c r="E20" s="14">
        <v>42131</v>
      </c>
      <c r="F20" s="14">
        <v>15891</v>
      </c>
      <c r="G20" s="14">
        <v>18625</v>
      </c>
      <c r="H20" s="14">
        <v>20544</v>
      </c>
      <c r="I20" s="8" t="s">
        <v>17</v>
      </c>
      <c r="M20" s="2"/>
    </row>
    <row r="21" spans="1:13" x14ac:dyDescent="0.2">
      <c r="A21" s="9" t="s">
        <v>12</v>
      </c>
      <c r="B21" s="10">
        <v>11762</v>
      </c>
      <c r="C21" s="10">
        <v>20710</v>
      </c>
      <c r="D21" s="10">
        <v>26073</v>
      </c>
      <c r="E21" s="10">
        <v>33579</v>
      </c>
      <c r="F21" s="10">
        <v>7233</v>
      </c>
      <c r="G21" s="10">
        <v>10015</v>
      </c>
      <c r="H21" s="10">
        <v>11932</v>
      </c>
      <c r="I21" s="11" t="s">
        <v>17</v>
      </c>
      <c r="M21" s="2"/>
    </row>
    <row r="22" spans="1:13" x14ac:dyDescent="0.2">
      <c r="A22" s="14" t="s">
        <v>23</v>
      </c>
      <c r="B22">
        <f>B20-B21</f>
        <v>8569</v>
      </c>
      <c r="C22">
        <f t="shared" ref="C22:D22" si="4">C20-C21</f>
        <v>8567</v>
      </c>
      <c r="D22">
        <f>D20-D21</f>
        <v>8552</v>
      </c>
      <c r="E22">
        <f>E20-E21</f>
        <v>8552</v>
      </c>
      <c r="F22">
        <f t="shared" ref="E22:H22" si="5">F20-F21</f>
        <v>8658</v>
      </c>
      <c r="G22">
        <f t="shared" si="5"/>
        <v>8610</v>
      </c>
      <c r="H22">
        <f t="shared" si="5"/>
        <v>8612</v>
      </c>
      <c r="J22">
        <f>AVERAGE(B22:H22)</f>
        <v>8588.5714285714294</v>
      </c>
      <c r="M22" s="2"/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3" t="s">
        <v>0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5" t="s">
        <v>18</v>
      </c>
      <c r="J24" s="15" t="s">
        <v>15</v>
      </c>
      <c r="K24" s="15" t="s">
        <v>16</v>
      </c>
      <c r="L24" s="15" t="s">
        <v>13</v>
      </c>
      <c r="M24" s="2"/>
    </row>
    <row r="25" spans="1:13" x14ac:dyDescent="0.2">
      <c r="A25" s="6" t="s">
        <v>1</v>
      </c>
      <c r="B25" s="7">
        <v>13605</v>
      </c>
      <c r="C25" s="7">
        <v>32274</v>
      </c>
      <c r="D25" s="7">
        <v>956</v>
      </c>
      <c r="E25" s="14">
        <v>335</v>
      </c>
      <c r="F25" s="14">
        <v>25349</v>
      </c>
      <c r="G25" s="14">
        <v>14419</v>
      </c>
      <c r="H25" s="14">
        <v>10466</v>
      </c>
      <c r="I25" s="8"/>
      <c r="M25" s="2"/>
    </row>
    <row r="26" spans="1:13" x14ac:dyDescent="0.2">
      <c r="A26" s="6" t="s">
        <v>11</v>
      </c>
      <c r="B26" s="7">
        <v>13430</v>
      </c>
      <c r="C26" s="7">
        <v>32099</v>
      </c>
      <c r="D26" s="7">
        <v>782</v>
      </c>
      <c r="E26" s="14">
        <v>161</v>
      </c>
      <c r="F26" s="14">
        <v>25174</v>
      </c>
      <c r="G26" s="14">
        <v>14245</v>
      </c>
      <c r="H26" s="14">
        <v>10292</v>
      </c>
      <c r="I26" s="8"/>
      <c r="M26" s="2"/>
    </row>
    <row r="27" spans="1:13" x14ac:dyDescent="0.2">
      <c r="A27" s="17" t="s">
        <v>20</v>
      </c>
      <c r="B27">
        <f>B25-B26</f>
        <v>175</v>
      </c>
      <c r="C27">
        <f t="shared" ref="C27:H27" si="6">C25-C26</f>
        <v>175</v>
      </c>
      <c r="D27">
        <f t="shared" si="6"/>
        <v>174</v>
      </c>
      <c r="E27">
        <f t="shared" si="6"/>
        <v>174</v>
      </c>
      <c r="F27">
        <f t="shared" si="6"/>
        <v>175</v>
      </c>
      <c r="G27">
        <f t="shared" si="6"/>
        <v>174</v>
      </c>
      <c r="H27">
        <f t="shared" si="6"/>
        <v>174</v>
      </c>
      <c r="J27">
        <f>AVERAGE(B27:H27)</f>
        <v>174.42857142857142</v>
      </c>
      <c r="M27" s="2"/>
    </row>
    <row r="28" spans="1:13" x14ac:dyDescent="0.2">
      <c r="A28" s="9" t="s">
        <v>12</v>
      </c>
      <c r="B28" s="10">
        <v>13371</v>
      </c>
      <c r="C28" s="10">
        <v>32040</v>
      </c>
      <c r="D28" s="10">
        <v>724</v>
      </c>
      <c r="E28" s="10">
        <v>103</v>
      </c>
      <c r="F28" s="10">
        <v>25116</v>
      </c>
      <c r="G28" s="10">
        <v>14187</v>
      </c>
      <c r="H28" s="10">
        <v>10235</v>
      </c>
      <c r="I28" s="11"/>
      <c r="M28" s="2"/>
    </row>
    <row r="29" spans="1:13" x14ac:dyDescent="0.2">
      <c r="A29" s="17" t="s">
        <v>19</v>
      </c>
      <c r="B29">
        <f>B26-B28</f>
        <v>59</v>
      </c>
      <c r="C29">
        <f t="shared" ref="C29:I29" si="7">C26-C28</f>
        <v>59</v>
      </c>
      <c r="D29">
        <f t="shared" si="7"/>
        <v>58</v>
      </c>
      <c r="E29">
        <f t="shared" si="7"/>
        <v>58</v>
      </c>
      <c r="F29">
        <f>F26-F28</f>
        <v>58</v>
      </c>
      <c r="G29">
        <f t="shared" si="7"/>
        <v>58</v>
      </c>
      <c r="H29">
        <f t="shared" si="7"/>
        <v>57</v>
      </c>
      <c r="J29">
        <f>AVERAGE(B29:H29)</f>
        <v>58.142857142857146</v>
      </c>
      <c r="M29" s="2"/>
    </row>
    <row r="30" spans="1:13" x14ac:dyDescent="0.2">
      <c r="A30" s="17" t="s">
        <v>24</v>
      </c>
      <c r="B30">
        <f>B25-B28</f>
        <v>234</v>
      </c>
      <c r="C30">
        <f t="shared" ref="C30:I30" si="8">C25-C28</f>
        <v>234</v>
      </c>
      <c r="D30">
        <f t="shared" si="8"/>
        <v>232</v>
      </c>
      <c r="E30">
        <f t="shared" si="8"/>
        <v>232</v>
      </c>
      <c r="F30">
        <f t="shared" si="8"/>
        <v>233</v>
      </c>
      <c r="G30">
        <f t="shared" si="8"/>
        <v>232</v>
      </c>
      <c r="H30">
        <f t="shared" si="8"/>
        <v>231</v>
      </c>
      <c r="J30">
        <f>AVERAGE(B30:H30)</f>
        <v>232.57142857142858</v>
      </c>
    </row>
    <row r="31" spans="1:13" x14ac:dyDescent="0.2">
      <c r="A31" s="3" t="s">
        <v>0</v>
      </c>
      <c r="B31" s="4" t="s">
        <v>2</v>
      </c>
      <c r="C31" s="4" t="s">
        <v>3</v>
      </c>
      <c r="D31" s="4" t="s">
        <v>4</v>
      </c>
      <c r="E31" s="4" t="s">
        <v>5</v>
      </c>
      <c r="F31" s="4" t="s">
        <v>6</v>
      </c>
      <c r="G31" s="4" t="s">
        <v>7</v>
      </c>
      <c r="H31" s="4" t="s">
        <v>8</v>
      </c>
      <c r="I31" s="5" t="s">
        <v>18</v>
      </c>
      <c r="J31" s="15" t="s">
        <v>17</v>
      </c>
      <c r="K31" s="15" t="s">
        <v>16</v>
      </c>
      <c r="L31" s="16" t="s">
        <v>17</v>
      </c>
    </row>
    <row r="32" spans="1:13" x14ac:dyDescent="0.2">
      <c r="A32" s="6" t="s">
        <v>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3" t="s">
        <v>17</v>
      </c>
    </row>
    <row r="33" spans="1:10" x14ac:dyDescent="0.2">
      <c r="A33" s="6" t="s">
        <v>11</v>
      </c>
      <c r="B33" s="7">
        <v>10312</v>
      </c>
      <c r="C33" s="7">
        <v>11712</v>
      </c>
      <c r="D33" s="7">
        <v>13226</v>
      </c>
      <c r="E33" s="14">
        <v>14681</v>
      </c>
      <c r="F33" s="14">
        <v>20216</v>
      </c>
      <c r="G33" s="14">
        <v>25516</v>
      </c>
      <c r="H33" s="14">
        <v>27730</v>
      </c>
      <c r="I33" s="8"/>
    </row>
    <row r="34" spans="1:10" x14ac:dyDescent="0.2">
      <c r="A34" s="9" t="s">
        <v>12</v>
      </c>
      <c r="B34" s="10">
        <v>10254</v>
      </c>
      <c r="C34" s="10">
        <v>11654</v>
      </c>
      <c r="D34" s="10">
        <v>13168</v>
      </c>
      <c r="E34" s="10">
        <v>14622</v>
      </c>
      <c r="F34" s="10">
        <v>20158</v>
      </c>
      <c r="G34" s="10">
        <v>25458</v>
      </c>
      <c r="H34" s="10">
        <v>27672</v>
      </c>
      <c r="I34" s="11"/>
    </row>
    <row r="35" spans="1:10" x14ac:dyDescent="0.2">
      <c r="A35" s="14" t="s">
        <v>23</v>
      </c>
      <c r="B35">
        <f>B33-B34</f>
        <v>58</v>
      </c>
      <c r="C35">
        <f>C33-C34</f>
        <v>58</v>
      </c>
      <c r="D35">
        <f>D33-D34</f>
        <v>58</v>
      </c>
      <c r="E35">
        <f>E33-E34</f>
        <v>59</v>
      </c>
      <c r="F35">
        <f t="shared" ref="C35:H35" si="9">F33-F34</f>
        <v>58</v>
      </c>
      <c r="G35">
        <f t="shared" si="9"/>
        <v>58</v>
      </c>
      <c r="H35">
        <f t="shared" si="9"/>
        <v>58</v>
      </c>
      <c r="J35">
        <f>AVERAGE(B35:H35)</f>
        <v>58.142857142857146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2025-10-06T23:12:27Z</dcterms:created>
  <dcterms:modified xsi:type="dcterms:W3CDTF">2025-10-14T16:03:42Z</dcterms:modified>
</cp:coreProperties>
</file>